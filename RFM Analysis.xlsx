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y\Desktop\Emily\Power BI Exercise\DataBuzz\AdvancedDAX\"/>
    </mc:Choice>
  </mc:AlternateContent>
  <xr:revisionPtr revIDLastSave="0" documentId="13_ncr:1_{53CC30A5-ECEE-44E1-9B27-0BF7C1CEE5D6}" xr6:coauthVersionLast="47" xr6:coauthVersionMax="47" xr10:uidLastSave="{00000000-0000-0000-0000-000000000000}"/>
  <bookViews>
    <workbookView xWindow="-120" yWindow="-120" windowWidth="29040" windowHeight="15720" xr2:uid="{B0820A75-BF1B-43BD-81EB-5244252E322C}"/>
  </bookViews>
  <sheets>
    <sheet name="RFM Analysis" sheetId="8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4" i="8" l="1"/>
  <c r="O41" i="8"/>
  <c r="O36" i="8"/>
  <c r="O32" i="8"/>
  <c r="F18" i="8"/>
  <c r="F17" i="8"/>
  <c r="F16" i="8"/>
  <c r="F15" i="8"/>
  <c r="F14" i="8"/>
  <c r="F13" i="8"/>
  <c r="F12" i="8"/>
  <c r="F11" i="8"/>
</calcChain>
</file>

<file path=xl/sharedStrings.xml><?xml version="1.0" encoding="utf-8"?>
<sst xmlns="http://schemas.openxmlformats.org/spreadsheetml/2006/main" count="202" uniqueCount="131">
  <si>
    <t xml:space="preserve">Frequency </t>
  </si>
  <si>
    <t xml:space="preserve">Monetary </t>
  </si>
  <si>
    <t>RFM Analysis</t>
  </si>
  <si>
    <t>Recency</t>
  </si>
  <si>
    <t>how recently the customer purchased</t>
  </si>
  <si>
    <t>how often the customer purchased</t>
  </si>
  <si>
    <t>how much the customer spent</t>
  </si>
  <si>
    <t>Recency Score</t>
  </si>
  <si>
    <t xml:space="preserve">Days Since Last Purchase </t>
  </si>
  <si>
    <t xml:space="preserve">Months Since Last Purchase </t>
  </si>
  <si>
    <r>
      <t xml:space="preserve">Days Since Last Purchase = </t>
    </r>
    <r>
      <rPr>
        <sz val="9"/>
        <color rgb="FF3165BB"/>
        <rFont val="Consolas"/>
        <family val="3"/>
      </rPr>
      <t>DATEDIFF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[Last Invoice Date]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[Last Invoice ALL Date]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DAY</t>
    </r>
    <r>
      <rPr>
        <sz val="9"/>
        <color rgb="FF000000"/>
        <rFont val="Consolas"/>
        <family val="3"/>
      </rPr>
      <t>)</t>
    </r>
  </si>
  <si>
    <r>
      <t xml:space="preserve">Last Invoice ALL Date = </t>
    </r>
    <r>
      <rPr>
        <sz val="9"/>
        <color rgb="FF3165BB"/>
        <rFont val="Consolas"/>
        <family val="3"/>
      </rPr>
      <t>MAXX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ALL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fct_sales</t>
    </r>
    <r>
      <rPr>
        <sz val="9"/>
        <color rgb="FF000000"/>
        <rFont val="Consolas"/>
        <family val="3"/>
      </rPr>
      <t xml:space="preserve">), 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>)</t>
    </r>
  </si>
  <si>
    <r>
      <t xml:space="preserve">Last Invoice Date = </t>
    </r>
    <r>
      <rPr>
        <sz val="9"/>
        <color rgb="FF3165BB"/>
        <rFont val="Consolas"/>
        <family val="3"/>
      </rPr>
      <t>max</t>
    </r>
    <r>
      <rPr>
        <sz val="9"/>
        <color rgb="FF000000"/>
        <rFont val="Consolas"/>
        <family val="3"/>
      </rPr>
      <t xml:space="preserve"> (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>)</t>
    </r>
  </si>
  <si>
    <t xml:space="preserve">Last Trans Days </t>
  </si>
  <si>
    <t xml:space="preserve">if not we will give (1- last transaction days) and divided by 365. </t>
  </si>
  <si>
    <t xml:space="preserve">Formula </t>
  </si>
  <si>
    <t xml:space="preserve">But if there has customer who never buy before will get same score with today purchase customer. </t>
  </si>
  <si>
    <t>To handle this we will give blank for those who never buy before. Recent buy is 1 and the rest (1-last trans)/365</t>
  </si>
  <si>
    <t xml:space="preserve">Giving Score Logic </t>
  </si>
  <si>
    <t xml:space="preserve">Recency Score = </t>
  </si>
  <si>
    <r>
      <t xml:space="preserve">   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</si>
  <si>
    <r>
      <t xml:space="preserve">        </t>
    </r>
    <r>
      <rPr>
        <sz val="9"/>
        <color rgb="FF3165BB"/>
        <rFont val="Consolas"/>
        <family val="3"/>
      </rPr>
      <t>ISBLANK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[Days Since Last Purchase]</t>
    </r>
    <r>
      <rPr>
        <sz val="9"/>
        <color rgb="FF000000"/>
        <rFont val="Consolas"/>
        <family val="3"/>
      </rPr>
      <t>),</t>
    </r>
    <r>
      <rPr>
        <sz val="9"/>
        <color rgb="FFA31515"/>
        <rFont val="Consolas"/>
        <family val="3"/>
      </rPr>
      <t>""</t>
    </r>
    <r>
      <rPr>
        <sz val="9"/>
        <color rgb="FF000000"/>
        <rFont val="Consolas"/>
        <family val="3"/>
      </rPr>
      <t>,</t>
    </r>
  </si>
  <si>
    <r>
      <t xml:space="preserve">           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 xml:space="preserve"> (</t>
    </r>
  </si>
  <si>
    <r>
      <t xml:space="preserve">                    </t>
    </r>
    <r>
      <rPr>
        <sz val="9"/>
        <color rgb="FF68349C"/>
        <rFont val="Consolas"/>
        <family val="3"/>
      </rPr>
      <t>[Days Since Last Purchase]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365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,</t>
    </r>
  </si>
  <si>
    <r>
      <t>                    (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-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[Days Since Last Purchase]</t>
    </r>
    <r>
      <rPr>
        <sz val="9"/>
        <color rgb="FF000000"/>
        <rFont val="Consolas"/>
        <family val="3"/>
      </rPr>
      <t>,</t>
    </r>
    <r>
      <rPr>
        <sz val="9"/>
        <color rgb="FF098658"/>
        <rFont val="Consolas"/>
        <family val="3"/>
      </rPr>
      <t>365</t>
    </r>
    <r>
      <rPr>
        <sz val="9"/>
        <color rgb="FF000000"/>
        <rFont val="Consolas"/>
        <family val="3"/>
      </rPr>
      <t>))</t>
    </r>
  </si>
  <si>
    <t>                )</t>
  </si>
  <si>
    <t>     )</t>
  </si>
  <si>
    <r>
      <t xml:space="preserve">Months Since Last Purchase = </t>
    </r>
    <r>
      <rPr>
        <sz val="9"/>
        <color rgb="FF3165BB"/>
        <rFont val="Consolas"/>
        <family val="3"/>
      </rPr>
      <t>DATEDIFF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[Last Invoice Date]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[Last Invoice ALL Date]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MONTH</t>
    </r>
    <r>
      <rPr>
        <sz val="9"/>
        <color rgb="FF000000"/>
        <rFont val="Consolas"/>
        <family val="3"/>
      </rPr>
      <t>)</t>
    </r>
  </si>
  <si>
    <t xml:space="preserve">Categorised in Table </t>
  </si>
  <si>
    <t xml:space="preserve">Months Since Last Purchase CC = </t>
  </si>
  <si>
    <r>
      <t xml:space="preserve">    </t>
    </r>
    <r>
      <rPr>
        <sz val="9"/>
        <color rgb="FF3165BB"/>
        <rFont val="Consolas"/>
        <family val="3"/>
      </rPr>
      <t>SWITCH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TRUE</t>
    </r>
    <r>
      <rPr>
        <sz val="9"/>
        <color rgb="FF000000"/>
        <rFont val="Consolas"/>
        <family val="3"/>
      </rPr>
      <t xml:space="preserve">(), 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</si>
  <si>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&lt;=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"1"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</si>
  <si>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 xml:space="preserve"> , </t>
    </r>
    <r>
      <rPr>
        <sz val="9"/>
        <color rgb="FFA31515"/>
        <rFont val="Consolas"/>
        <family val="3"/>
      </rPr>
      <t>"2"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</si>
  <si>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3</t>
    </r>
    <r>
      <rPr>
        <sz val="9"/>
        <color rgb="FF000000"/>
        <rFont val="Consolas"/>
        <family val="3"/>
      </rPr>
      <t xml:space="preserve"> , </t>
    </r>
    <r>
      <rPr>
        <sz val="9"/>
        <color rgb="FFA31515"/>
        <rFont val="Consolas"/>
        <family val="3"/>
      </rPr>
      <t>"3"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</si>
  <si>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4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7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"4 to 6"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</si>
  <si>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7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13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"7 to 12"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</si>
  <si>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13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"13 or more"</t>
    </r>
    <r>
      <rPr>
        <sz val="9"/>
        <color rgb="FF000000"/>
        <rFont val="Consolas"/>
        <family val="3"/>
      </rPr>
      <t xml:space="preserve"> </t>
    </r>
  </si>
  <si>
    <t>        )</t>
  </si>
  <si>
    <t xml:space="preserve">Sorting column </t>
  </si>
  <si>
    <t xml:space="preserve">Months Since Last Purchase Sorting = </t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</si>
  <si>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&lt;=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6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</si>
  <si>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5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</si>
  <si>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3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4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</si>
  <si>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4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7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3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</si>
  <si>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7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13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</si>
  <si>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68349C"/>
        <rFont val="Consolas"/>
        <family val="3"/>
      </rPr>
      <t>[Months Since Last Purchase]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13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1</t>
    </r>
  </si>
  <si>
    <t>Date</t>
  </si>
  <si>
    <t>Wai Yan</t>
  </si>
  <si>
    <t>Htet</t>
  </si>
  <si>
    <t>Nway</t>
  </si>
  <si>
    <t>Ei</t>
  </si>
  <si>
    <t>Pa</t>
  </si>
  <si>
    <t>Aung</t>
  </si>
  <si>
    <t>How Often</t>
  </si>
  <si>
    <t>Customer</t>
  </si>
  <si>
    <t>Daily Transaction</t>
  </si>
  <si>
    <t>Summarised</t>
  </si>
  <si>
    <t xml:space="preserve">Customer  </t>
  </si>
  <si>
    <t>Date Dff</t>
  </si>
  <si>
    <t>Avg</t>
  </si>
  <si>
    <t>PrevDate</t>
  </si>
  <si>
    <t xml:space="preserve">Avg Days Bet Purchases = </t>
  </si>
  <si>
    <r>
      <t xml:space="preserve">    </t>
    </r>
    <r>
      <rPr>
        <sz val="9"/>
        <color rgb="FF0000FF"/>
        <rFont val="Consolas"/>
        <family val="3"/>
      </rP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TotalPurchases</t>
    </r>
    <r>
      <rPr>
        <sz val="9"/>
        <color rgb="FF000000"/>
        <rFont val="Consolas"/>
        <family val="3"/>
      </rPr>
      <t xml:space="preserve"> = </t>
    </r>
    <r>
      <rPr>
        <sz val="9"/>
        <color rgb="FF68349C"/>
        <rFont val="Consolas"/>
        <family val="3"/>
      </rPr>
      <t>[TY Transaction]</t>
    </r>
  </si>
  <si>
    <r>
      <t xml:space="preserve">    </t>
    </r>
    <r>
      <rPr>
        <sz val="9"/>
        <color rgb="FF0000FF"/>
        <rFont val="Consolas"/>
        <family val="3"/>
      </rP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AvgDays</t>
    </r>
    <r>
      <rPr>
        <sz val="9"/>
        <color rgb="FF000000"/>
        <rFont val="Consolas"/>
        <family val="3"/>
      </rPr>
      <t xml:space="preserve"> = </t>
    </r>
  </si>
  <si>
    <r>
      <t xml:space="preserve">            </t>
    </r>
    <r>
      <rPr>
        <sz val="9"/>
        <color rgb="FF3165BB"/>
        <rFont val="Consolas"/>
        <family val="3"/>
      </rPr>
      <t>SUMMARIZE</t>
    </r>
    <r>
      <rPr>
        <sz val="9"/>
        <color rgb="FF000000"/>
        <rFont val="Consolas"/>
        <family val="3"/>
      </rPr>
      <t>(</t>
    </r>
    <r>
      <rPr>
        <sz val="9"/>
        <color rgb="FF008000"/>
        <rFont val="Consolas"/>
        <family val="3"/>
      </rPr>
      <t>--1. Create new column in SUMMARISE as "PrevDate"</t>
    </r>
  </si>
  <si>
    <r>
      <t xml:space="preserve">                    </t>
    </r>
    <r>
      <rPr>
        <sz val="9"/>
        <color rgb="FF001080"/>
        <rFont val="Consolas"/>
        <family val="3"/>
      </rPr>
      <t>fct_sales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</si>
  <si>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    </t>
    </r>
    <r>
      <rPr>
        <sz val="9"/>
        <color rgb="FF001080"/>
        <rFont val="Consolas"/>
        <family val="3"/>
      </rPr>
      <t>fct_sales[CustomerKey]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</si>
  <si>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    </t>
    </r>
    <r>
      <rPr>
        <sz val="9"/>
        <color rgb="FFA31515"/>
        <rFont val="Consolas"/>
        <family val="3"/>
      </rPr>
      <t>"PrevDate"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</si>
  <si>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   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Max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>),</t>
    </r>
  </si>
  <si>
    <r>
      <t xml:space="preserve">                               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</t>
    </r>
  </si>
  <si>
    <r>
      <t xml:space="preserve">                                    </t>
    </r>
    <r>
      <rPr>
        <sz val="9"/>
        <color rgb="FF3165BB"/>
        <rFont val="Consolas"/>
        <family val="3"/>
      </rPr>
      <t>ALL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fct_sales</t>
    </r>
    <r>
      <rPr>
        <sz val="9"/>
        <color rgb="FF000000"/>
        <rFont val="Consolas"/>
        <family val="3"/>
      </rPr>
      <t>),</t>
    </r>
  </si>
  <si>
    <r>
      <t xml:space="preserve">                                    </t>
    </r>
    <r>
      <rPr>
        <sz val="9"/>
        <color rgb="FF001080"/>
        <rFont val="Consolas"/>
        <family val="3"/>
      </rPr>
      <t>fct_sales[CustomerKey]</t>
    </r>
    <r>
      <rPr>
        <sz val="9"/>
        <color rgb="FF000000"/>
        <rFont val="Consolas"/>
        <family val="3"/>
      </rPr>
      <t xml:space="preserve"> = </t>
    </r>
    <r>
      <rPr>
        <sz val="9"/>
        <color rgb="FF3165BB"/>
        <rFont val="Consolas"/>
        <family val="3"/>
      </rPr>
      <t>EARLIER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fct_sales[CustomerKey]</t>
    </r>
    <r>
      <rPr>
        <sz val="9"/>
        <color rgb="FF000000"/>
        <rFont val="Consolas"/>
        <family val="3"/>
      </rPr>
      <t xml:space="preserve">) &amp;&amp; </t>
    </r>
  </si>
  <si>
    <r>
      <t xml:space="preserve">                                    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 xml:space="preserve"> &lt; </t>
    </r>
    <r>
      <rPr>
        <sz val="9"/>
        <color rgb="FF3165BB"/>
        <rFont val="Consolas"/>
        <family val="3"/>
      </rPr>
      <t>EARLIER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>)</t>
    </r>
  </si>
  <si>
    <t>                                    )</t>
  </si>
  <si>
    <t>                                )</t>
  </si>
  <si>
    <r>
      <t xml:space="preserve">                    ) </t>
    </r>
    <r>
      <rPr>
        <sz val="9"/>
        <color rgb="FF008000"/>
        <rFont val="Consolas"/>
        <family val="3"/>
      </rPr>
      <t xml:space="preserve">--1. </t>
    </r>
  </si>
  <si>
    <r>
      <t>                    ,</t>
    </r>
    <r>
      <rPr>
        <sz val="9"/>
        <color rgb="FFA31515"/>
        <rFont val="Consolas"/>
        <family val="3"/>
      </rPr>
      <t>"DaysBetween"</t>
    </r>
    <r>
      <rPr>
        <sz val="9"/>
        <color rgb="FF000000"/>
        <rFont val="Consolas"/>
        <family val="3"/>
      </rPr>
      <t xml:space="preserve">, </t>
    </r>
    <r>
      <rPr>
        <sz val="9"/>
        <color rgb="FF3165BB"/>
        <rFont val="Consolas"/>
        <family val="3"/>
      </rPr>
      <t>DATEDIFF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[PrevDate]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fct_sales[OrderDate]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day</t>
    </r>
    <r>
      <rPr>
        <sz val="9"/>
        <color rgb="FF000000"/>
        <rFont val="Consolas"/>
        <family val="3"/>
      </rPr>
      <t xml:space="preserve">) </t>
    </r>
    <r>
      <rPr>
        <sz val="9"/>
        <color rgb="FF008000"/>
        <rFont val="Consolas"/>
        <family val="3"/>
      </rPr>
      <t xml:space="preserve">-- 2. </t>
    </r>
  </si>
  <si>
    <r>
      <t>                ),</t>
    </r>
    <r>
      <rPr>
        <sz val="9"/>
        <color rgb="FF001080"/>
        <rFont val="Consolas"/>
        <family val="3"/>
      </rPr>
      <t>[DaysBetween]</t>
    </r>
    <r>
      <rPr>
        <sz val="9"/>
        <color rgb="FF000000"/>
        <rFont val="Consolas"/>
        <family val="3"/>
      </rPr>
      <t xml:space="preserve"> </t>
    </r>
    <r>
      <rPr>
        <sz val="9"/>
        <color rgb="FF008000"/>
        <rFont val="Consolas"/>
        <family val="3"/>
      </rPr>
      <t xml:space="preserve">-- 3. </t>
    </r>
  </si>
  <si>
    <r>
      <t xml:space="preserve">        ), </t>
    </r>
    <r>
      <rPr>
        <sz val="9"/>
        <color rgb="FF3165BB"/>
        <rFont val="Consolas"/>
        <family val="3"/>
      </rPr>
      <t>BLANK</t>
    </r>
    <r>
      <rPr>
        <sz val="9"/>
        <color rgb="FF000000"/>
        <rFont val="Consolas"/>
        <family val="3"/>
      </rPr>
      <t xml:space="preserve">() </t>
    </r>
    <r>
      <rPr>
        <sz val="9"/>
        <color rgb="FF008000"/>
        <rFont val="Consolas"/>
        <family val="3"/>
      </rPr>
      <t xml:space="preserve">-- 4. </t>
    </r>
  </si>
  <si>
    <t>)</t>
  </si>
  <si>
    <r>
      <t>RETURN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AvgDays</t>
    </r>
  </si>
  <si>
    <t>Average Days Formula</t>
  </si>
  <si>
    <t xml:space="preserve">Total Transactions </t>
  </si>
  <si>
    <r>
      <t xml:space="preserve">TY Transaction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fct_sales[OrderNumber]</t>
    </r>
    <r>
      <rPr>
        <sz val="9"/>
        <color rgb="FF000000"/>
        <rFont val="Consolas"/>
        <family val="3"/>
      </rPr>
      <t>)</t>
    </r>
  </si>
  <si>
    <r>
      <t>IF</t>
    </r>
    <r>
      <rPr>
        <sz val="9"/>
        <color rgb="FF000000"/>
        <rFont val="Consolas"/>
        <family val="3"/>
      </rPr>
      <t xml:space="preserve">( </t>
    </r>
    <r>
      <rPr>
        <sz val="9"/>
        <color rgb="FF008080"/>
        <rFont val="Consolas"/>
        <family val="3"/>
      </rPr>
      <t>TotalPurchases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, </t>
    </r>
  </si>
  <si>
    <t>-- 4. for those customer who buy more than one time, we will calculate as following steps, if not Blank()</t>
  </si>
  <si>
    <r>
      <t xml:space="preserve">    </t>
    </r>
    <r>
      <rPr>
        <sz val="9"/>
        <color rgb="FF3165BB"/>
        <rFont val="Consolas"/>
        <family val="3"/>
      </rPr>
      <t>ADDCOLUMNS</t>
    </r>
    <r>
      <rPr>
        <sz val="9"/>
        <color rgb="FF000000"/>
        <rFont val="Consolas"/>
        <family val="3"/>
      </rPr>
      <t xml:space="preserve">( </t>
    </r>
    <r>
      <rPr>
        <sz val="9"/>
        <color rgb="FF008000"/>
        <rFont val="Consolas"/>
        <family val="3"/>
      </rPr>
      <t xml:space="preserve">-- 2. ADDCOLUMNS to know "Days Between" </t>
    </r>
  </si>
  <si>
    <r>
      <t xml:space="preserve">    </t>
    </r>
    <r>
      <rPr>
        <sz val="9"/>
        <color rgb="FF3165BB"/>
        <rFont val="Consolas"/>
        <family val="3"/>
      </rPr>
      <t>AVERAGEX</t>
    </r>
    <r>
      <rPr>
        <sz val="9"/>
        <color rgb="FF000000"/>
        <rFont val="Consolas"/>
        <family val="3"/>
      </rPr>
      <t>(</t>
    </r>
    <r>
      <rPr>
        <sz val="9"/>
        <color rgb="FF008000"/>
        <rFont val="Consolas"/>
        <family val="3"/>
      </rPr>
      <t xml:space="preserve">-- 3. Find AVERAGEX for days between </t>
    </r>
  </si>
  <si>
    <t>Frequency Score</t>
  </si>
  <si>
    <t xml:space="preserve">Frequency Score = </t>
  </si>
  <si>
    <t>--Step 1 to calculate average days between purchases (never buy 0, if buy calculate avg</t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</si>
  <si>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Step1</t>
    </r>
    <r>
      <rPr>
        <sz val="9"/>
        <color rgb="FF000000"/>
        <rFont val="Consolas"/>
        <family val="3"/>
      </rPr>
      <t xml:space="preserve"> = </t>
    </r>
  </si>
  <si>
    <r>
      <t xml:space="preserve">   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[Avg Days Bet Purchases]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365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,</t>
    </r>
  </si>
  <si>
    <r>
      <t xml:space="preserve">       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- (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[Avg Days Bet Purchases]</t>
    </r>
    <r>
      <rPr>
        <sz val="9"/>
        <color rgb="FF000000"/>
        <rFont val="Consolas"/>
        <family val="3"/>
      </rPr>
      <t>,</t>
    </r>
    <r>
      <rPr>
        <sz val="9"/>
        <color rgb="FF098658"/>
        <rFont val="Consolas"/>
        <family val="3"/>
      </rPr>
      <t>365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BLANK</t>
    </r>
    <r>
      <rPr>
        <sz val="9"/>
        <color rgb="FF000000"/>
        <rFont val="Consolas"/>
        <family val="3"/>
      </rPr>
      <t>()))</t>
    </r>
  </si>
  <si>
    <t>    )</t>
  </si>
  <si>
    <t xml:space="preserve">-- If customer buy only one time, step 1 will return 1 </t>
  </si>
  <si>
    <t>-- to handle this we will give 0 for those customer too</t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</si>
  <si>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Step2</t>
    </r>
    <r>
      <rPr>
        <sz val="9"/>
        <color rgb="FF000000"/>
        <rFont val="Consolas"/>
        <family val="3"/>
      </rPr>
      <t xml:space="preserve"> =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ISBLANK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[Avg Days Bet Purchases]</t>
    </r>
    <r>
      <rPr>
        <sz val="9"/>
        <color rgb="FF000000"/>
        <rFont val="Consolas"/>
        <family val="3"/>
      </rPr>
      <t xml:space="preserve">),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 xml:space="preserve">, </t>
    </r>
    <r>
      <rPr>
        <sz val="9"/>
        <color rgb="FF008080"/>
        <rFont val="Consolas"/>
        <family val="3"/>
      </rPr>
      <t>step1</t>
    </r>
    <r>
      <rPr>
        <sz val="9"/>
        <color rgb="FF000000"/>
        <rFont val="Consolas"/>
        <family val="3"/>
      </rPr>
      <t>)</t>
    </r>
  </si>
  <si>
    <r>
      <t>Return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Step2</t>
    </r>
  </si>
  <si>
    <t>(Frequency Score)</t>
  </si>
  <si>
    <t>(Recency Score)</t>
  </si>
  <si>
    <t xml:space="preserve">(If last purchase is &gt;= 365) = 0 </t>
  </si>
  <si>
    <t xml:space="preserve">Frequency Of Purchases CC = </t>
  </si>
  <si>
    <r>
      <t xml:space="preserve">        </t>
    </r>
    <r>
      <rPr>
        <sz val="9"/>
        <color rgb="FF3165BB"/>
        <rFont val="Consolas"/>
        <family val="3"/>
      </rPr>
      <t>SWITCH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TRUE</t>
    </r>
    <r>
      <rPr>
        <sz val="9"/>
        <color rgb="FF000000"/>
        <rFont val="Consolas"/>
        <family val="3"/>
      </rPr>
      <t xml:space="preserve">(),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</si>
  <si>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 , </t>
    </r>
    <r>
      <rPr>
        <sz val="9"/>
        <color rgb="FFA31515"/>
        <rFont val="Consolas"/>
        <family val="3"/>
      </rPr>
      <t>"1"</t>
    </r>
    <r>
      <rPr>
        <sz val="9"/>
        <color rgb="FF000000"/>
        <rFont val="Consolas"/>
        <family val="3"/>
      </rPr>
      <t>,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</si>
  <si>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10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"2 to 9"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</si>
  <si>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10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50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"10 to 49"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</si>
  <si>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50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200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"50 to 199"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</si>
  <si>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200</t>
    </r>
    <r>
      <rPr>
        <sz val="9"/>
        <color rgb="FF000000"/>
        <rFont val="Consolas"/>
        <family val="3"/>
      </rPr>
      <t xml:space="preserve"> ,  </t>
    </r>
    <r>
      <rPr>
        <sz val="9"/>
        <color rgb="FFA31515"/>
        <rFont val="Consolas"/>
        <family val="3"/>
      </rPr>
      <t>"200 or more"</t>
    </r>
  </si>
  <si>
    <t xml:space="preserve">Frequency Of Purchases Sorting = </t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</si>
  <si>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5</t>
    </r>
    <r>
      <rPr>
        <sz val="9"/>
        <color rgb="FF000000"/>
        <rFont val="Consolas"/>
        <family val="3"/>
      </rPr>
      <t>,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</si>
  <si>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10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4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</si>
  <si>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10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50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3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</si>
  <si>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50</t>
    </r>
    <r>
      <rPr>
        <sz val="9"/>
        <color rgb="FF000000"/>
        <rFont val="Consolas"/>
        <family val="3"/>
      </rPr>
      <t xml:space="preserve"> &amp;&amp;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&lt; </t>
    </r>
    <r>
      <rPr>
        <sz val="9"/>
        <color rgb="FF098658"/>
        <rFont val="Consolas"/>
        <family val="3"/>
      </rPr>
      <t>200</t>
    </r>
    <r>
      <rPr>
        <sz val="9"/>
        <color rgb="FF000000"/>
        <rFont val="Consolas"/>
        <family val="3"/>
      </rPr>
      <t xml:space="preserve">,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 xml:space="preserve">, </t>
    </r>
  </si>
  <si>
    <r>
      <t xml:space="preserve">                </t>
    </r>
    <r>
      <rPr>
        <sz val="9"/>
        <color rgb="FF68349C"/>
        <rFont val="Consolas"/>
        <family val="3"/>
      </rPr>
      <t>[TY Transaction]</t>
    </r>
    <r>
      <rPr>
        <sz val="9"/>
        <color rgb="FF000000"/>
        <rFont val="Consolas"/>
        <family val="3"/>
      </rPr>
      <t xml:space="preserve"> &gt;= </t>
    </r>
    <r>
      <rPr>
        <sz val="9"/>
        <color rgb="FF098658"/>
        <rFont val="Consolas"/>
        <family val="3"/>
      </rPr>
      <t>200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1</t>
    </r>
  </si>
  <si>
    <t xml:space="preserve">Monetary Score = </t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</si>
  <si>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10000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10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</si>
  <si>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9000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9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</si>
  <si>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8000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8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</si>
  <si>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7000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7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</si>
  <si>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6000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6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</si>
  <si>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5000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5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</si>
  <si>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4000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4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</si>
  <si>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3000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3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</si>
  <si>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2000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2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</si>
  <si>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1000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</si>
  <si>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68349C"/>
        <rFont val="Consolas"/>
        <family val="3"/>
      </rPr>
      <t>[TY Sales]</t>
    </r>
    <r>
      <rPr>
        <sz val="9"/>
        <color rgb="FF000000"/>
        <rFont val="Consolas"/>
        <family val="3"/>
      </rPr>
      <t xml:space="preserve"> &gt;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 , </t>
    </r>
    <r>
      <rPr>
        <sz val="9"/>
        <color rgb="FF098658"/>
        <rFont val="Consolas"/>
        <family val="3"/>
      </rPr>
      <t>0.5</t>
    </r>
    <r>
      <rPr>
        <sz val="9"/>
        <color rgb="FF000000"/>
        <rFont val="Consolas"/>
        <family val="3"/>
      </rPr>
      <t>,</t>
    </r>
  </si>
  <si>
    <t xml:space="preserve">Calculating based on how much they buy </t>
  </si>
  <si>
    <t xml:space="preserve">RFM Score </t>
  </si>
  <si>
    <r>
      <t xml:space="preserve">RFM Score = </t>
    </r>
    <r>
      <rPr>
        <b/>
        <sz val="14"/>
        <color rgb="FF68349C"/>
        <rFont val="Consolas"/>
        <family val="3"/>
      </rPr>
      <t>[Recency Score]</t>
    </r>
    <r>
      <rPr>
        <b/>
        <sz val="14"/>
        <color rgb="FF000000"/>
        <rFont val="Consolas"/>
        <family val="3"/>
      </rPr>
      <t xml:space="preserve"> * </t>
    </r>
    <r>
      <rPr>
        <b/>
        <sz val="14"/>
        <color rgb="FF68349C"/>
        <rFont val="Consolas"/>
        <family val="3"/>
      </rPr>
      <t>[Frequency Score]</t>
    </r>
    <r>
      <rPr>
        <b/>
        <sz val="14"/>
        <color rgb="FF000000"/>
        <rFont val="Consolas"/>
        <family val="3"/>
      </rPr>
      <t xml:space="preserve"> *</t>
    </r>
    <r>
      <rPr>
        <b/>
        <sz val="14"/>
        <color rgb="FF68349C"/>
        <rFont val="Consolas"/>
        <family val="3"/>
      </rPr>
      <t>[Monetary Score]</t>
    </r>
  </si>
  <si>
    <r>
      <t xml:space="preserve">   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 xml:space="preserve"> </t>
    </r>
    <r>
      <rPr>
        <sz val="9"/>
        <color rgb="FF008000"/>
        <rFont val="Consolas"/>
        <family val="3"/>
      </rPr>
      <t xml:space="preserve">-- 0 is for those who never buy before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</si>
</sst>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Consolas"/>
      <family val="3"/>
    </font>
    <font>
      <b/>
      <i/>
      <sz val="16"/>
      <color theme="1"/>
      <name val="Calibri"/>
      <family val="2"/>
      <scheme val="minor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658"/>
      <name val="Consolas"/>
      <family val="3"/>
    </font>
    <font>
      <sz val="9"/>
      <color rgb="FFA31515"/>
      <name val="Consolas"/>
      <family val="3"/>
    </font>
    <font>
      <sz val="9"/>
      <color rgb="FF0000FF"/>
      <name val="Consolas"/>
      <family val="3"/>
    </font>
    <font>
      <sz val="9"/>
      <color rgb="FF008080"/>
      <name val="Consolas"/>
      <family val="3"/>
    </font>
    <font>
      <sz val="9"/>
      <color rgb="FF008000"/>
      <name val="Consolas"/>
      <family val="3"/>
    </font>
    <font>
      <b/>
      <sz val="14"/>
      <color rgb="FF000000"/>
      <name val="Consolas"/>
      <family val="3"/>
    </font>
    <font>
      <b/>
      <sz val="14"/>
      <color rgb="FF68349C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0" borderId="1" xfId="0" applyNumberForma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0" fontId="0" fillId="0" borderId="4" xfId="0" applyBorder="1"/>
    <xf numFmtId="0" fontId="3" fillId="4" borderId="4" xfId="0" applyFont="1" applyFill="1" applyBorder="1" applyAlignment="1">
      <alignment vertical="center"/>
    </xf>
    <xf numFmtId="0" fontId="0" fillId="5" borderId="0" xfId="0" applyFill="1"/>
    <xf numFmtId="0" fontId="3" fillId="0" borderId="4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16" fontId="0" fillId="2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" fontId="0" fillId="7" borderId="1" xfId="0" applyNumberFormat="1" applyFill="1" applyBorder="1"/>
    <xf numFmtId="0" fontId="0" fillId="7" borderId="1" xfId="0" applyFill="1" applyBorder="1"/>
    <xf numFmtId="16" fontId="0" fillId="8" borderId="1" xfId="0" applyNumberFormat="1" applyFill="1" applyBorder="1"/>
    <xf numFmtId="0" fontId="0" fillId="8" borderId="1" xfId="0" applyFill="1" applyBorder="1"/>
    <xf numFmtId="164" fontId="0" fillId="0" borderId="0" xfId="0" applyNumberFormat="1"/>
    <xf numFmtId="0" fontId="5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16" fontId="0" fillId="2" borderId="0" xfId="0" applyNumberFormat="1" applyFill="1"/>
    <xf numFmtId="16" fontId="0" fillId="6" borderId="0" xfId="0" applyNumberFormat="1" applyFill="1"/>
    <xf numFmtId="16" fontId="0" fillId="7" borderId="0" xfId="0" applyNumberFormat="1" applyFill="1"/>
    <xf numFmtId="16" fontId="0" fillId="8" borderId="0" xfId="0" applyNumberFormat="1" applyFill="1"/>
    <xf numFmtId="16" fontId="0" fillId="2" borderId="2" xfId="0" applyNumberFormat="1" applyFill="1" applyBorder="1"/>
    <xf numFmtId="16" fontId="0" fillId="6" borderId="2" xfId="0" applyNumberFormat="1" applyFill="1" applyBorder="1"/>
    <xf numFmtId="16" fontId="0" fillId="7" borderId="2" xfId="0" applyNumberFormat="1" applyFill="1" applyBorder="1"/>
    <xf numFmtId="16" fontId="0" fillId="8" borderId="2" xfId="0" applyNumberFormat="1" applyFill="1" applyBorder="1"/>
    <xf numFmtId="0" fontId="12" fillId="4" borderId="0" xfId="0" applyFont="1" applyFill="1" applyAlignment="1">
      <alignment vertical="center"/>
    </xf>
    <xf numFmtId="0" fontId="10" fillId="4" borderId="4" xfId="0" applyFont="1" applyFill="1" applyBorder="1" applyAlignment="1">
      <alignment vertical="center"/>
    </xf>
    <xf numFmtId="0" fontId="0" fillId="5" borderId="4" xfId="0" applyFill="1" applyBorder="1"/>
    <xf numFmtId="0" fontId="0" fillId="9" borderId="0" xfId="0" applyFill="1"/>
    <xf numFmtId="0" fontId="2" fillId="9" borderId="0" xfId="0" applyFont="1" applyFill="1"/>
    <xf numFmtId="0" fontId="13" fillId="9" borderId="0" xfId="0" applyFont="1" applyFill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9</xdr:row>
      <xdr:rowOff>171450</xdr:rowOff>
    </xdr:from>
    <xdr:to>
      <xdr:col>3</xdr:col>
      <xdr:colOff>581025</xdr:colOff>
      <xdr:row>14</xdr:row>
      <xdr:rowOff>123825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2043D950-5E9A-4B38-A8F2-6E73604C67A6}"/>
            </a:ext>
          </a:extLst>
        </xdr:cNvPr>
        <xdr:cNvCxnSpPr/>
      </xdr:nvCxnSpPr>
      <xdr:spPr>
        <a:xfrm flipV="1">
          <a:off x="8267700" y="2238375"/>
          <a:ext cx="1333500" cy="904875"/>
        </a:xfrm>
        <a:prstGeom prst="curvedConnector3">
          <a:avLst/>
        </a:prstGeom>
        <a:ln w="190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3562-7010-4650-96F1-CEC264C5C335}">
  <dimension ref="A1:O119"/>
  <sheetViews>
    <sheetView tabSelected="1" workbookViewId="0">
      <selection activeCell="D2" sqref="D2"/>
    </sheetView>
  </sheetViews>
  <sheetFormatPr defaultRowHeight="15" x14ac:dyDescent="0.25"/>
  <cols>
    <col min="1" max="1" width="20.85546875" bestFit="1" customWidth="1"/>
    <col min="2" max="2" width="101.85546875" bestFit="1" customWidth="1"/>
    <col min="3" max="3" width="12.5703125" customWidth="1"/>
    <col min="5" max="5" width="16.140625" customWidth="1"/>
    <col min="6" max="6" width="12" bestFit="1" customWidth="1"/>
    <col min="7" max="7" width="5.42578125" customWidth="1"/>
    <col min="9" max="9" width="9.5703125" bestFit="1" customWidth="1"/>
    <col min="10" max="10" width="4.85546875" customWidth="1"/>
    <col min="12" max="12" width="9.5703125" customWidth="1"/>
    <col min="13" max="13" width="10.42578125" customWidth="1"/>
    <col min="15" max="15" width="5.5703125" customWidth="1"/>
  </cols>
  <sheetData>
    <row r="1" spans="1:6" s="5" customFormat="1" ht="20.25" customHeight="1" x14ac:dyDescent="0.25">
      <c r="A1" s="37" t="s">
        <v>2</v>
      </c>
      <c r="B1" s="38"/>
    </row>
    <row r="2" spans="1:6" s="5" customFormat="1" ht="20.25" customHeight="1" x14ac:dyDescent="0.25">
      <c r="A2" s="11" t="s">
        <v>3</v>
      </c>
      <c r="B2" s="11" t="s">
        <v>4</v>
      </c>
    </row>
    <row r="3" spans="1:6" s="5" customFormat="1" ht="20.25" customHeight="1" x14ac:dyDescent="0.25">
      <c r="A3" s="11" t="s">
        <v>0</v>
      </c>
      <c r="B3" s="11" t="s">
        <v>5</v>
      </c>
    </row>
    <row r="4" spans="1:6" s="5" customFormat="1" ht="20.25" customHeight="1" x14ac:dyDescent="0.25">
      <c r="A4" s="11" t="s">
        <v>1</v>
      </c>
      <c r="B4" s="11" t="s">
        <v>6</v>
      </c>
    </row>
    <row r="6" spans="1:6" ht="21.75" customHeight="1" x14ac:dyDescent="0.25">
      <c r="A6" s="12" t="s">
        <v>3</v>
      </c>
      <c r="B6" s="12" t="s">
        <v>4</v>
      </c>
    </row>
    <row r="7" spans="1:6" x14ac:dyDescent="0.25">
      <c r="A7" s="9" t="s">
        <v>7</v>
      </c>
      <c r="B7" s="9" t="s">
        <v>8</v>
      </c>
    </row>
    <row r="8" spans="1:6" x14ac:dyDescent="0.25">
      <c r="B8" s="4" t="s">
        <v>12</v>
      </c>
    </row>
    <row r="9" spans="1:6" x14ac:dyDescent="0.25">
      <c r="B9" s="4" t="s">
        <v>11</v>
      </c>
    </row>
    <row r="10" spans="1:6" x14ac:dyDescent="0.25">
      <c r="A10" s="7"/>
      <c r="B10" s="10" t="s">
        <v>10</v>
      </c>
      <c r="E10" s="1" t="s">
        <v>13</v>
      </c>
      <c r="F10" s="1" t="s">
        <v>15</v>
      </c>
    </row>
    <row r="11" spans="1:6" x14ac:dyDescent="0.25">
      <c r="B11" s="9" t="s">
        <v>9</v>
      </c>
      <c r="E11" s="1">
        <v>0</v>
      </c>
      <c r="F11" s="1">
        <f>IF(E11&gt;=365,0,(1-E11/365))</f>
        <v>1</v>
      </c>
    </row>
    <row r="12" spans="1:6" x14ac:dyDescent="0.25">
      <c r="A12" s="7"/>
      <c r="B12" s="10" t="s">
        <v>27</v>
      </c>
      <c r="E12" s="1">
        <v>1</v>
      </c>
      <c r="F12" s="1">
        <f t="shared" ref="F12:F18" si="0">IF(E12&gt;=365,0,(1-E12/365))</f>
        <v>0.99726027397260275</v>
      </c>
    </row>
    <row r="13" spans="1:6" x14ac:dyDescent="0.25">
      <c r="A13" s="9" t="s">
        <v>18</v>
      </c>
      <c r="B13" s="9" t="s">
        <v>101</v>
      </c>
      <c r="E13" s="1">
        <v>2</v>
      </c>
      <c r="F13" s="1">
        <f t="shared" si="0"/>
        <v>0.9945205479452055</v>
      </c>
    </row>
    <row r="14" spans="1:6" x14ac:dyDescent="0.25">
      <c r="B14" s="9" t="s">
        <v>14</v>
      </c>
      <c r="E14" s="1">
        <v>3</v>
      </c>
      <c r="F14" s="1">
        <f t="shared" si="0"/>
        <v>0.99178082191780825</v>
      </c>
    </row>
    <row r="15" spans="1:6" x14ac:dyDescent="0.25">
      <c r="B15" s="9" t="s">
        <v>16</v>
      </c>
      <c r="E15" s="1">
        <v>4</v>
      </c>
      <c r="F15" s="1">
        <f t="shared" si="0"/>
        <v>0.989041095890411</v>
      </c>
    </row>
    <row r="16" spans="1:6" x14ac:dyDescent="0.25">
      <c r="B16" s="9" t="s">
        <v>17</v>
      </c>
      <c r="E16" s="1">
        <v>5</v>
      </c>
      <c r="F16" s="1">
        <f t="shared" si="0"/>
        <v>0.98630136986301364</v>
      </c>
    </row>
    <row r="17" spans="1:15" x14ac:dyDescent="0.25">
      <c r="B17" s="4" t="s">
        <v>19</v>
      </c>
      <c r="E17" s="1">
        <v>6</v>
      </c>
      <c r="F17" s="1">
        <f t="shared" si="0"/>
        <v>0.98356164383561639</v>
      </c>
    </row>
    <row r="18" spans="1:15" x14ac:dyDescent="0.25">
      <c r="B18" s="6" t="s">
        <v>20</v>
      </c>
      <c r="E18" s="1">
        <v>365</v>
      </c>
      <c r="F18" s="1">
        <f t="shared" si="0"/>
        <v>0</v>
      </c>
    </row>
    <row r="19" spans="1:15" x14ac:dyDescent="0.25">
      <c r="B19" s="6" t="s">
        <v>21</v>
      </c>
    </row>
    <row r="20" spans="1:15" x14ac:dyDescent="0.25">
      <c r="B20" s="6" t="s">
        <v>22</v>
      </c>
    </row>
    <row r="21" spans="1:15" x14ac:dyDescent="0.25">
      <c r="B21" s="6" t="s">
        <v>23</v>
      </c>
    </row>
    <row r="22" spans="1:15" x14ac:dyDescent="0.25">
      <c r="B22" s="6" t="s">
        <v>24</v>
      </c>
    </row>
    <row r="23" spans="1:15" x14ac:dyDescent="0.25">
      <c r="B23" s="6" t="s">
        <v>25</v>
      </c>
    </row>
    <row r="24" spans="1:15" x14ac:dyDescent="0.25">
      <c r="A24" s="7"/>
      <c r="B24" s="8" t="s">
        <v>26</v>
      </c>
    </row>
    <row r="25" spans="1:15" x14ac:dyDescent="0.25">
      <c r="A25" s="9" t="s">
        <v>28</v>
      </c>
      <c r="B25" s="6" t="s">
        <v>29</v>
      </c>
    </row>
    <row r="26" spans="1:15" x14ac:dyDescent="0.25">
      <c r="A26" s="9" t="s">
        <v>100</v>
      </c>
      <c r="B26" s="6" t="s">
        <v>30</v>
      </c>
    </row>
    <row r="27" spans="1:15" x14ac:dyDescent="0.25">
      <c r="B27" s="6" t="s">
        <v>31</v>
      </c>
    </row>
    <row r="28" spans="1:15" x14ac:dyDescent="0.25">
      <c r="B28" s="6" t="s">
        <v>32</v>
      </c>
    </row>
    <row r="29" spans="1:15" x14ac:dyDescent="0.25">
      <c r="B29" s="6" t="s">
        <v>33</v>
      </c>
      <c r="E29" t="s">
        <v>55</v>
      </c>
      <c r="H29" t="s">
        <v>53</v>
      </c>
      <c r="K29" t="s">
        <v>56</v>
      </c>
    </row>
    <row r="30" spans="1:15" x14ac:dyDescent="0.25">
      <c r="B30" s="6" t="s">
        <v>34</v>
      </c>
      <c r="E30" s="1" t="s">
        <v>46</v>
      </c>
      <c r="F30" s="1" t="s">
        <v>57</v>
      </c>
      <c r="H30" t="s">
        <v>46</v>
      </c>
      <c r="I30" t="s">
        <v>54</v>
      </c>
      <c r="K30" t="s">
        <v>46</v>
      </c>
      <c r="L30" t="s">
        <v>54</v>
      </c>
      <c r="M30" t="s">
        <v>60</v>
      </c>
      <c r="N30" t="s">
        <v>58</v>
      </c>
      <c r="O30" t="s">
        <v>59</v>
      </c>
    </row>
    <row r="31" spans="1:15" x14ac:dyDescent="0.25">
      <c r="B31" s="6" t="s">
        <v>35</v>
      </c>
      <c r="E31" s="13">
        <v>46042</v>
      </c>
      <c r="F31" s="2" t="s">
        <v>47</v>
      </c>
      <c r="H31" s="13">
        <v>46042</v>
      </c>
      <c r="I31" s="2" t="s">
        <v>47</v>
      </c>
      <c r="K31" s="27">
        <v>46042</v>
      </c>
      <c r="L31" s="2" t="s">
        <v>47</v>
      </c>
    </row>
    <row r="32" spans="1:15" x14ac:dyDescent="0.25">
      <c r="B32" s="6" t="s">
        <v>36</v>
      </c>
      <c r="E32" s="14">
        <v>46042</v>
      </c>
      <c r="F32" s="15" t="s">
        <v>48</v>
      </c>
      <c r="H32" s="13">
        <v>46042</v>
      </c>
      <c r="I32" s="2" t="s">
        <v>47</v>
      </c>
      <c r="K32" s="27">
        <v>46043</v>
      </c>
      <c r="L32" s="2" t="s">
        <v>47</v>
      </c>
      <c r="M32" s="23">
        <v>46043</v>
      </c>
      <c r="N32">
        <v>1</v>
      </c>
      <c r="O32" s="20">
        <f>AVERAGE(N32:N34)</f>
        <v>6.333333333333333</v>
      </c>
    </row>
    <row r="33" spans="1:15" x14ac:dyDescent="0.25">
      <c r="A33" s="7"/>
      <c r="B33" s="8" t="s">
        <v>37</v>
      </c>
      <c r="E33" s="13">
        <v>46042</v>
      </c>
      <c r="F33" s="2" t="s">
        <v>47</v>
      </c>
      <c r="H33" s="13">
        <v>46043</v>
      </c>
      <c r="I33" s="2" t="s">
        <v>47</v>
      </c>
      <c r="K33" s="27">
        <v>46049</v>
      </c>
      <c r="L33" s="2" t="s">
        <v>47</v>
      </c>
      <c r="M33" s="23">
        <v>46049</v>
      </c>
      <c r="N33">
        <v>6</v>
      </c>
      <c r="O33" s="20"/>
    </row>
    <row r="34" spans="1:15" x14ac:dyDescent="0.25">
      <c r="A34" s="9" t="s">
        <v>38</v>
      </c>
      <c r="B34" s="6" t="s">
        <v>39</v>
      </c>
      <c r="E34" s="16">
        <v>46042</v>
      </c>
      <c r="F34" s="17" t="s">
        <v>49</v>
      </c>
      <c r="H34" s="13">
        <v>46049</v>
      </c>
      <c r="I34" s="2" t="s">
        <v>47</v>
      </c>
      <c r="K34" s="27">
        <v>46063</v>
      </c>
      <c r="L34" s="2" t="s">
        <v>47</v>
      </c>
      <c r="M34" s="23">
        <v>46063</v>
      </c>
      <c r="N34">
        <v>12</v>
      </c>
      <c r="O34" s="20"/>
    </row>
    <row r="35" spans="1:15" x14ac:dyDescent="0.25">
      <c r="A35" s="9" t="s">
        <v>100</v>
      </c>
      <c r="B35" s="6" t="s">
        <v>30</v>
      </c>
      <c r="E35" s="18">
        <v>46042</v>
      </c>
      <c r="F35" s="19" t="s">
        <v>50</v>
      </c>
      <c r="H35" s="13">
        <v>46063</v>
      </c>
      <c r="I35" s="2" t="s">
        <v>47</v>
      </c>
      <c r="K35" s="28">
        <v>46042</v>
      </c>
      <c r="L35" s="15" t="s">
        <v>48</v>
      </c>
      <c r="O35" s="20"/>
    </row>
    <row r="36" spans="1:15" x14ac:dyDescent="0.25">
      <c r="B36" s="6" t="s">
        <v>40</v>
      </c>
      <c r="E36" s="14">
        <v>46043</v>
      </c>
      <c r="F36" s="15" t="s">
        <v>48</v>
      </c>
      <c r="H36" s="14">
        <v>46042</v>
      </c>
      <c r="I36" s="15" t="s">
        <v>48</v>
      </c>
      <c r="K36" s="28">
        <v>46043</v>
      </c>
      <c r="L36" s="15" t="s">
        <v>48</v>
      </c>
      <c r="M36" s="24">
        <v>46043</v>
      </c>
      <c r="N36">
        <v>1</v>
      </c>
      <c r="O36" s="20">
        <f>AVERAGE(N36:N39)</f>
        <v>4.75</v>
      </c>
    </row>
    <row r="37" spans="1:15" x14ac:dyDescent="0.25">
      <c r="B37" s="6" t="s">
        <v>41</v>
      </c>
      <c r="E37" s="18">
        <v>46043</v>
      </c>
      <c r="F37" s="19" t="s">
        <v>50</v>
      </c>
      <c r="H37" s="14">
        <v>46043</v>
      </c>
      <c r="I37" s="15" t="s">
        <v>48</v>
      </c>
      <c r="K37" s="28">
        <v>46044</v>
      </c>
      <c r="L37" s="15" t="s">
        <v>48</v>
      </c>
      <c r="M37" s="24">
        <v>46044</v>
      </c>
      <c r="N37">
        <v>1</v>
      </c>
      <c r="O37" s="20"/>
    </row>
    <row r="38" spans="1:15" x14ac:dyDescent="0.25">
      <c r="B38" s="6" t="s">
        <v>42</v>
      </c>
      <c r="E38" s="14">
        <v>46043</v>
      </c>
      <c r="F38" s="15" t="s">
        <v>48</v>
      </c>
      <c r="H38" s="14">
        <v>46043</v>
      </c>
      <c r="I38" s="15" t="s">
        <v>48</v>
      </c>
      <c r="K38" s="28">
        <v>46049</v>
      </c>
      <c r="L38" s="15" t="s">
        <v>48</v>
      </c>
      <c r="M38" s="24">
        <v>46049</v>
      </c>
      <c r="N38">
        <v>5</v>
      </c>
      <c r="O38" s="20"/>
    </row>
    <row r="39" spans="1:15" x14ac:dyDescent="0.25">
      <c r="B39" s="6" t="s">
        <v>43</v>
      </c>
      <c r="E39" s="14">
        <v>46043</v>
      </c>
      <c r="F39" s="15" t="s">
        <v>48</v>
      </c>
      <c r="H39" s="14">
        <v>46043</v>
      </c>
      <c r="I39" s="15" t="s">
        <v>48</v>
      </c>
      <c r="K39" s="28">
        <v>46063</v>
      </c>
      <c r="L39" s="15" t="s">
        <v>48</v>
      </c>
      <c r="M39" s="24">
        <v>46063</v>
      </c>
      <c r="N39">
        <v>12</v>
      </c>
      <c r="O39" s="20"/>
    </row>
    <row r="40" spans="1:15" x14ac:dyDescent="0.25">
      <c r="B40" s="6" t="s">
        <v>44</v>
      </c>
      <c r="E40" s="13">
        <v>46043</v>
      </c>
      <c r="F40" s="2" t="s">
        <v>47</v>
      </c>
      <c r="H40" s="14">
        <v>46044</v>
      </c>
      <c r="I40" s="15" t="s">
        <v>48</v>
      </c>
      <c r="K40" s="29">
        <v>46042</v>
      </c>
      <c r="L40" s="17" t="s">
        <v>49</v>
      </c>
      <c r="O40" s="20"/>
    </row>
    <row r="41" spans="1:15" x14ac:dyDescent="0.25">
      <c r="B41" s="6" t="s">
        <v>45</v>
      </c>
      <c r="E41" s="16">
        <v>46044</v>
      </c>
      <c r="F41" s="17" t="s">
        <v>49</v>
      </c>
      <c r="H41" s="14">
        <v>46049</v>
      </c>
      <c r="I41" s="15" t="s">
        <v>48</v>
      </c>
      <c r="K41" s="29">
        <v>46044</v>
      </c>
      <c r="L41" s="17" t="s">
        <v>49</v>
      </c>
      <c r="M41" s="25">
        <v>46044</v>
      </c>
      <c r="N41">
        <v>2</v>
      </c>
      <c r="O41" s="20">
        <f>AVERAGE(N41:N42)</f>
        <v>3.5</v>
      </c>
    </row>
    <row r="42" spans="1:15" x14ac:dyDescent="0.25">
      <c r="A42" s="7"/>
      <c r="B42" s="8" t="s">
        <v>37</v>
      </c>
      <c r="E42" s="16">
        <v>46044</v>
      </c>
      <c r="F42" s="17" t="s">
        <v>49</v>
      </c>
      <c r="H42" s="14">
        <v>46063</v>
      </c>
      <c r="I42" s="15" t="s">
        <v>48</v>
      </c>
      <c r="K42" s="29">
        <v>46049</v>
      </c>
      <c r="L42" s="17" t="s">
        <v>49</v>
      </c>
      <c r="M42" s="25">
        <v>46049</v>
      </c>
      <c r="N42">
        <v>5</v>
      </c>
      <c r="O42" s="20"/>
    </row>
    <row r="43" spans="1:15" ht="21" customHeight="1" x14ac:dyDescent="0.25">
      <c r="A43" s="12" t="s">
        <v>0</v>
      </c>
      <c r="B43" s="12" t="s">
        <v>5</v>
      </c>
      <c r="E43" s="18">
        <v>46044</v>
      </c>
      <c r="F43" s="19" t="s">
        <v>50</v>
      </c>
      <c r="H43" s="16">
        <v>46042</v>
      </c>
      <c r="I43" s="17" t="s">
        <v>49</v>
      </c>
      <c r="K43" s="30">
        <v>46042</v>
      </c>
      <c r="L43" s="19" t="s">
        <v>50</v>
      </c>
      <c r="O43" s="20"/>
    </row>
    <row r="44" spans="1:15" ht="15.75" customHeight="1" x14ac:dyDescent="0.25">
      <c r="A44" s="33" t="s">
        <v>82</v>
      </c>
      <c r="B44" s="10" t="s">
        <v>83</v>
      </c>
      <c r="E44" s="14">
        <v>46044</v>
      </c>
      <c r="F44" s="15" t="s">
        <v>48</v>
      </c>
      <c r="H44" s="16">
        <v>46044</v>
      </c>
      <c r="I44" s="17" t="s">
        <v>49</v>
      </c>
      <c r="K44" s="30">
        <v>46043</v>
      </c>
      <c r="L44" s="19" t="s">
        <v>50</v>
      </c>
      <c r="M44" s="26">
        <v>46043</v>
      </c>
      <c r="N44">
        <v>1</v>
      </c>
      <c r="O44" s="20">
        <f>AVERAGE(N44:N45)</f>
        <v>1</v>
      </c>
    </row>
    <row r="45" spans="1:15" x14ac:dyDescent="0.25">
      <c r="A45" s="9" t="s">
        <v>81</v>
      </c>
      <c r="B45" s="6" t="s">
        <v>61</v>
      </c>
      <c r="E45" s="3">
        <v>46044</v>
      </c>
      <c r="F45" s="1" t="s">
        <v>51</v>
      </c>
      <c r="H45" s="16">
        <v>46044</v>
      </c>
      <c r="I45" s="17" t="s">
        <v>49</v>
      </c>
      <c r="K45" s="30">
        <v>46044</v>
      </c>
      <c r="L45" s="19" t="s">
        <v>50</v>
      </c>
      <c r="M45" s="26">
        <v>46044</v>
      </c>
      <c r="N45">
        <v>1</v>
      </c>
    </row>
    <row r="46" spans="1:15" x14ac:dyDescent="0.25">
      <c r="B46" s="6" t="s">
        <v>62</v>
      </c>
      <c r="E46" s="13">
        <v>46049</v>
      </c>
      <c r="F46" s="2" t="s">
        <v>47</v>
      </c>
      <c r="H46" s="16">
        <v>46049</v>
      </c>
      <c r="I46" s="17" t="s">
        <v>49</v>
      </c>
    </row>
    <row r="47" spans="1:15" x14ac:dyDescent="0.25">
      <c r="B47" s="6" t="s">
        <v>63</v>
      </c>
      <c r="E47" s="14">
        <v>46049</v>
      </c>
      <c r="F47" s="15" t="s">
        <v>48</v>
      </c>
      <c r="H47" s="18">
        <v>46042</v>
      </c>
      <c r="I47" s="19" t="s">
        <v>50</v>
      </c>
    </row>
    <row r="48" spans="1:15" x14ac:dyDescent="0.25">
      <c r="B48" s="21" t="s">
        <v>84</v>
      </c>
      <c r="E48" s="16">
        <v>46049</v>
      </c>
      <c r="F48" s="17" t="s">
        <v>49</v>
      </c>
      <c r="H48" s="18">
        <v>46043</v>
      </c>
      <c r="I48" s="19" t="s">
        <v>50</v>
      </c>
    </row>
    <row r="49" spans="2:9" x14ac:dyDescent="0.25">
      <c r="B49" s="31" t="s">
        <v>85</v>
      </c>
      <c r="E49" s="13">
        <v>46063</v>
      </c>
      <c r="F49" s="2" t="s">
        <v>47</v>
      </c>
      <c r="H49" s="18">
        <v>46044</v>
      </c>
      <c r="I49" s="19" t="s">
        <v>50</v>
      </c>
    </row>
    <row r="50" spans="2:9" x14ac:dyDescent="0.25">
      <c r="B50" s="6" t="s">
        <v>87</v>
      </c>
      <c r="E50" s="14">
        <v>46063</v>
      </c>
      <c r="F50" s="15" t="s">
        <v>48</v>
      </c>
      <c r="H50" s="3">
        <v>46044</v>
      </c>
      <c r="I50" s="1" t="s">
        <v>51</v>
      </c>
    </row>
    <row r="51" spans="2:9" x14ac:dyDescent="0.25">
      <c r="B51" s="6" t="s">
        <v>86</v>
      </c>
      <c r="E51" s="3">
        <v>46064</v>
      </c>
      <c r="F51" s="1" t="s">
        <v>52</v>
      </c>
      <c r="H51" s="3">
        <v>46064</v>
      </c>
      <c r="I51" s="1" t="s">
        <v>52</v>
      </c>
    </row>
    <row r="52" spans="2:9" x14ac:dyDescent="0.25">
      <c r="B52" s="6" t="s">
        <v>64</v>
      </c>
    </row>
    <row r="53" spans="2:9" x14ac:dyDescent="0.25">
      <c r="B53" s="6" t="s">
        <v>65</v>
      </c>
    </row>
    <row r="54" spans="2:9" x14ac:dyDescent="0.25">
      <c r="B54" s="6" t="s">
        <v>66</v>
      </c>
    </row>
    <row r="55" spans="2:9" x14ac:dyDescent="0.25">
      <c r="B55" s="6" t="s">
        <v>67</v>
      </c>
    </row>
    <row r="56" spans="2:9" x14ac:dyDescent="0.25">
      <c r="B56" s="6" t="s">
        <v>68</v>
      </c>
    </row>
    <row r="57" spans="2:9" x14ac:dyDescent="0.25">
      <c r="B57" s="6" t="s">
        <v>69</v>
      </c>
    </row>
    <row r="58" spans="2:9" x14ac:dyDescent="0.25">
      <c r="B58" s="6" t="s">
        <v>70</v>
      </c>
    </row>
    <row r="59" spans="2:9" x14ac:dyDescent="0.25">
      <c r="B59" s="6" t="s">
        <v>71</v>
      </c>
    </row>
    <row r="60" spans="2:9" x14ac:dyDescent="0.25">
      <c r="B60" s="6" t="s">
        <v>72</v>
      </c>
    </row>
    <row r="61" spans="2:9" x14ac:dyDescent="0.25">
      <c r="B61" s="6" t="s">
        <v>73</v>
      </c>
    </row>
    <row r="62" spans="2:9" x14ac:dyDescent="0.25">
      <c r="B62" s="6" t="s">
        <v>74</v>
      </c>
    </row>
    <row r="63" spans="2:9" x14ac:dyDescent="0.25">
      <c r="B63" s="6" t="s">
        <v>75</v>
      </c>
    </row>
    <row r="64" spans="2:9" x14ac:dyDescent="0.25">
      <c r="B64" s="6" t="s">
        <v>76</v>
      </c>
    </row>
    <row r="65" spans="1:2" x14ac:dyDescent="0.25">
      <c r="B65" s="6" t="s">
        <v>77</v>
      </c>
    </row>
    <row r="66" spans="1:2" x14ac:dyDescent="0.25">
      <c r="B66" s="6" t="s">
        <v>78</v>
      </c>
    </row>
    <row r="67" spans="1:2" x14ac:dyDescent="0.25">
      <c r="B67" s="6" t="s">
        <v>79</v>
      </c>
    </row>
    <row r="68" spans="1:2" x14ac:dyDescent="0.25">
      <c r="A68" s="7"/>
      <c r="B68" s="32" t="s">
        <v>80</v>
      </c>
    </row>
    <row r="69" spans="1:2" x14ac:dyDescent="0.25">
      <c r="A69" s="9" t="s">
        <v>88</v>
      </c>
      <c r="B69" s="6" t="s">
        <v>89</v>
      </c>
    </row>
    <row r="70" spans="1:2" x14ac:dyDescent="0.25">
      <c r="B70" s="31" t="s">
        <v>90</v>
      </c>
    </row>
    <row r="71" spans="1:2" x14ac:dyDescent="0.25">
      <c r="B71" s="22" t="s">
        <v>91</v>
      </c>
    </row>
    <row r="72" spans="1:2" x14ac:dyDescent="0.25">
      <c r="B72" s="6" t="s">
        <v>92</v>
      </c>
    </row>
    <row r="73" spans="1:2" x14ac:dyDescent="0.25">
      <c r="B73" s="6" t="s">
        <v>93</v>
      </c>
    </row>
    <row r="74" spans="1:2" x14ac:dyDescent="0.25">
      <c r="B74" s="6" t="s">
        <v>94</v>
      </c>
    </row>
    <row r="75" spans="1:2" x14ac:dyDescent="0.25">
      <c r="B75" s="31" t="s">
        <v>95</v>
      </c>
    </row>
    <row r="76" spans="1:2" x14ac:dyDescent="0.25">
      <c r="B76" s="31" t="s">
        <v>96</v>
      </c>
    </row>
    <row r="77" spans="1:2" x14ac:dyDescent="0.25">
      <c r="B77" s="22" t="s">
        <v>97</v>
      </c>
    </row>
    <row r="78" spans="1:2" x14ac:dyDescent="0.25">
      <c r="A78" s="7"/>
      <c r="B78" s="32" t="s">
        <v>98</v>
      </c>
    </row>
    <row r="79" spans="1:2" x14ac:dyDescent="0.25">
      <c r="A79" s="9" t="s">
        <v>28</v>
      </c>
      <c r="B79" s="6" t="s">
        <v>102</v>
      </c>
    </row>
    <row r="80" spans="1:2" x14ac:dyDescent="0.25">
      <c r="A80" s="9" t="s">
        <v>99</v>
      </c>
      <c r="B80" s="6" t="s">
        <v>103</v>
      </c>
    </row>
    <row r="81" spans="1:2" x14ac:dyDescent="0.25">
      <c r="B81" s="6" t="s">
        <v>104</v>
      </c>
    </row>
    <row r="82" spans="1:2" x14ac:dyDescent="0.25">
      <c r="B82" s="6" t="s">
        <v>105</v>
      </c>
    </row>
    <row r="83" spans="1:2" x14ac:dyDescent="0.25">
      <c r="B83" s="6" t="s">
        <v>106</v>
      </c>
    </row>
    <row r="84" spans="1:2" x14ac:dyDescent="0.25">
      <c r="B84" s="6" t="s">
        <v>107</v>
      </c>
    </row>
    <row r="85" spans="1:2" x14ac:dyDescent="0.25">
      <c r="B85" s="6" t="s">
        <v>108</v>
      </c>
    </row>
    <row r="86" spans="1:2" x14ac:dyDescent="0.25">
      <c r="A86" s="7"/>
      <c r="B86" s="8" t="s">
        <v>37</v>
      </c>
    </row>
    <row r="87" spans="1:2" x14ac:dyDescent="0.25">
      <c r="A87" s="9" t="s">
        <v>38</v>
      </c>
      <c r="B87" s="6" t="s">
        <v>109</v>
      </c>
    </row>
    <row r="88" spans="1:2" x14ac:dyDescent="0.25">
      <c r="A88" s="9" t="s">
        <v>99</v>
      </c>
      <c r="B88" s="6" t="s">
        <v>103</v>
      </c>
    </row>
    <row r="89" spans="1:2" x14ac:dyDescent="0.25">
      <c r="B89" s="6" t="s">
        <v>110</v>
      </c>
    </row>
    <row r="90" spans="1:2" x14ac:dyDescent="0.25">
      <c r="B90" s="6" t="s">
        <v>111</v>
      </c>
    </row>
    <row r="91" spans="1:2" x14ac:dyDescent="0.25">
      <c r="B91" s="6" t="s">
        <v>112</v>
      </c>
    </row>
    <row r="92" spans="1:2" x14ac:dyDescent="0.25">
      <c r="B92" s="6" t="s">
        <v>113</v>
      </c>
    </row>
    <row r="93" spans="1:2" x14ac:dyDescent="0.25">
      <c r="B93" s="6" t="s">
        <v>114</v>
      </c>
    </row>
    <row r="94" spans="1:2" x14ac:dyDescent="0.25">
      <c r="A94" s="7"/>
      <c r="B94" s="8" t="s">
        <v>37</v>
      </c>
    </row>
    <row r="95" spans="1:2" ht="20.25" customHeight="1" x14ac:dyDescent="0.25">
      <c r="A95" s="12" t="s">
        <v>1</v>
      </c>
      <c r="B95" s="12" t="s">
        <v>6</v>
      </c>
    </row>
    <row r="96" spans="1:2" x14ac:dyDescent="0.25">
      <c r="A96" s="34"/>
      <c r="B96" s="34" t="s">
        <v>127</v>
      </c>
    </row>
    <row r="97" spans="1:2" x14ac:dyDescent="0.25">
      <c r="B97" s="6" t="s">
        <v>115</v>
      </c>
    </row>
    <row r="98" spans="1:2" x14ac:dyDescent="0.25">
      <c r="B98" s="6" t="s">
        <v>30</v>
      </c>
    </row>
    <row r="99" spans="1:2" x14ac:dyDescent="0.25">
      <c r="B99" s="6" t="s">
        <v>116</v>
      </c>
    </row>
    <row r="100" spans="1:2" x14ac:dyDescent="0.25">
      <c r="B100" s="6" t="s">
        <v>117</v>
      </c>
    </row>
    <row r="101" spans="1:2" x14ac:dyDescent="0.25">
      <c r="B101" s="6" t="s">
        <v>118</v>
      </c>
    </row>
    <row r="102" spans="1:2" x14ac:dyDescent="0.25">
      <c r="B102" s="6" t="s">
        <v>119</v>
      </c>
    </row>
    <row r="103" spans="1:2" x14ac:dyDescent="0.25">
      <c r="B103" s="6" t="s">
        <v>120</v>
      </c>
    </row>
    <row r="104" spans="1:2" x14ac:dyDescent="0.25">
      <c r="B104" s="6" t="s">
        <v>121</v>
      </c>
    </row>
    <row r="105" spans="1:2" x14ac:dyDescent="0.25">
      <c r="B105" s="6" t="s">
        <v>122</v>
      </c>
    </row>
    <row r="106" spans="1:2" x14ac:dyDescent="0.25">
      <c r="B106" s="6" t="s">
        <v>123</v>
      </c>
    </row>
    <row r="107" spans="1:2" x14ac:dyDescent="0.25">
      <c r="B107" s="6" t="s">
        <v>124</v>
      </c>
    </row>
    <row r="108" spans="1:2" x14ac:dyDescent="0.25">
      <c r="B108" s="6" t="s">
        <v>125</v>
      </c>
    </row>
    <row r="109" spans="1:2" x14ac:dyDescent="0.25">
      <c r="B109" s="6" t="s">
        <v>126</v>
      </c>
    </row>
    <row r="110" spans="1:2" x14ac:dyDescent="0.25">
      <c r="B110" s="6" t="s">
        <v>130</v>
      </c>
    </row>
    <row r="111" spans="1:2" x14ac:dyDescent="0.25">
      <c r="A111" s="7"/>
      <c r="B111" s="8" t="s">
        <v>94</v>
      </c>
    </row>
    <row r="112" spans="1:2" ht="18.75" x14ac:dyDescent="0.3">
      <c r="A112" s="35" t="s">
        <v>128</v>
      </c>
      <c r="B112" s="36" t="s">
        <v>129</v>
      </c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</sheetData>
  <mergeCells count="1">
    <mergeCell ref="A1:B1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HNINN EI KHAING (Emily)</dc:creator>
  <cp:lastModifiedBy>Hnin Ei Khaing</cp:lastModifiedBy>
  <cp:lastPrinted>2026-04-21T07:00:27Z</cp:lastPrinted>
  <dcterms:created xsi:type="dcterms:W3CDTF">2026-02-24T01:58:19Z</dcterms:created>
  <dcterms:modified xsi:type="dcterms:W3CDTF">2026-04-21T07:04:22Z</dcterms:modified>
</cp:coreProperties>
</file>